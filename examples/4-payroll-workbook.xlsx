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yroll" sheetId="1" r:id="rId1"/>
    <sheet name="Ord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sheetData>
    <row r="1">
      <c r="A1" t="str">
        <v>Employee</v>
      </c>
      <c r="B1" t="str">
        <v>Dept</v>
      </c>
      <c r="C1" t="str">
        <v>Plan</v>
      </c>
      <c r="D1" t="str">
        <v>Hours</v>
      </c>
      <c r="E1" t="str">
        <v>OT Hours</v>
      </c>
      <c r="F1" t="str">
        <v>Rate</v>
      </c>
      <c r="G1" t="str">
        <v>Gross</v>
      </c>
      <c r="H1" t="str">
        <v>Tax</v>
      </c>
      <c r="I1" t="str">
        <v>Benefits</v>
      </c>
      <c r="J1" t="str">
        <v>Net</v>
      </c>
    </row>
    <row r="2">
      <c r="A2" t="str">
        <v>Ada A.</v>
      </c>
      <c r="B2" t="str">
        <v>Support</v>
      </c>
      <c r="C2" t="str">
        <v>Basic</v>
      </c>
      <c r="D2">
        <v>36</v>
      </c>
      <c r="E2">
        <v>0</v>
      </c>
      <c r="F2">
        <v>21</v>
      </c>
      <c r="G2">
        <v>756</v>
      </c>
      <c r="H2">
        <v>166.32</v>
      </c>
      <c r="I2">
        <v>45</v>
      </c>
      <c r="J2">
        <v>544.68</v>
      </c>
    </row>
    <row r="3">
      <c r="A3" t="str">
        <v>Bram H.</v>
      </c>
      <c r="B3" t="str">
        <v>Ops</v>
      </c>
      <c r="C3" t="str">
        <v>Family</v>
      </c>
      <c r="D3">
        <v>32</v>
      </c>
      <c r="E3">
        <v>2</v>
      </c>
      <c r="F3">
        <v>18.5</v>
      </c>
      <c r="G3">
        <v>647.5</v>
      </c>
      <c r="H3">
        <v>142.45</v>
      </c>
      <c r="I3">
        <v>160</v>
      </c>
      <c r="J3">
        <v>345.05</v>
      </c>
    </row>
    <row r="4">
      <c r="A4" t="str">
        <v>Chen O.</v>
      </c>
      <c r="B4" t="str">
        <v>Warehouse</v>
      </c>
      <c r="C4" t="str">
        <v>Plus</v>
      </c>
      <c r="D4">
        <v>40</v>
      </c>
      <c r="E4">
        <v>2.5</v>
      </c>
      <c r="F4">
        <v>22.75</v>
      </c>
      <c r="G4">
        <v>995.31</v>
      </c>
      <c r="H4">
        <v>218.97</v>
      </c>
      <c r="I4">
        <v>85</v>
      </c>
      <c r="J4">
        <v>691.34</v>
      </c>
    </row>
    <row r="5">
      <c r="A5" t="str">
        <v>Dana V.</v>
      </c>
      <c r="B5" t="str">
        <v>Design</v>
      </c>
      <c r="C5" t="str">
        <v>Plus</v>
      </c>
      <c r="D5">
        <v>40</v>
      </c>
      <c r="E5">
        <v>2.5</v>
      </c>
      <c r="F5">
        <v>31</v>
      </c>
      <c r="G5">
        <v>1356.25</v>
      </c>
      <c r="H5">
        <v>298.38</v>
      </c>
      <c r="I5">
        <v>85</v>
      </c>
      <c r="J5">
        <v>972.87</v>
      </c>
    </row>
    <row r="6">
      <c r="A6" t="str">
        <v>Eli C.</v>
      </c>
      <c r="B6" t="str">
        <v>Design</v>
      </c>
      <c r="C6" t="str">
        <v>Family</v>
      </c>
      <c r="D6">
        <v>32</v>
      </c>
      <c r="E6">
        <v>25</v>
      </c>
      <c r="F6">
        <v>22.75</v>
      </c>
      <c r="G6">
        <v>813.31</v>
      </c>
      <c r="H6">
        <v>178.93</v>
      </c>
      <c r="I6">
        <v>160</v>
      </c>
      <c r="J6">
        <v>474.38</v>
      </c>
    </row>
    <row r="7">
      <c r="A7" t="str">
        <v>Fatima J.</v>
      </c>
      <c r="B7" t="str">
        <v>Ops</v>
      </c>
      <c r="C7" t="str">
        <v>Plus</v>
      </c>
      <c r="D7">
        <v>32</v>
      </c>
      <c r="E7">
        <v>8</v>
      </c>
      <c r="F7">
        <v>18.5</v>
      </c>
      <c r="G7">
        <v>814</v>
      </c>
      <c r="H7">
        <v>179.08</v>
      </c>
      <c r="I7">
        <v>85</v>
      </c>
      <c r="J7">
        <v>549.92</v>
      </c>
    </row>
    <row r="8">
      <c r="A8" t="str">
        <v>Gus Q.</v>
      </c>
      <c r="B8" t="str">
        <v>Ops</v>
      </c>
      <c r="C8" t="str">
        <v>Plus</v>
      </c>
      <c r="D8">
        <v>32</v>
      </c>
      <c r="E8">
        <v>0</v>
      </c>
      <c r="F8">
        <v>22.75</v>
      </c>
      <c r="G8">
        <v>728</v>
      </c>
      <c r="H8">
        <v>160.16</v>
      </c>
      <c r="I8">
        <v>85</v>
      </c>
      <c r="J8">
        <v>482.84</v>
      </c>
    </row>
    <row r="9">
      <c r="A9" t="str">
        <v>Hana X.</v>
      </c>
      <c r="B9" t="str">
        <v>Design</v>
      </c>
      <c r="C9" t="str">
        <v>Family</v>
      </c>
      <c r="D9">
        <v>36</v>
      </c>
      <c r="E9">
        <v>2</v>
      </c>
      <c r="F9">
        <v>34.8</v>
      </c>
      <c r="G9">
        <v>1357.2</v>
      </c>
      <c r="H9">
        <v>298.58</v>
      </c>
      <c r="I9">
        <v>160</v>
      </c>
      <c r="J9">
        <v>898.62</v>
      </c>
    </row>
    <row r="10">
      <c r="A10" t="str">
        <v>Ivo E.</v>
      </c>
      <c r="B10" t="str">
        <v>Ops</v>
      </c>
      <c r="C10" t="str">
        <v>Family</v>
      </c>
      <c r="D10">
        <v>32</v>
      </c>
      <c r="E10">
        <v>4</v>
      </c>
      <c r="F10">
        <v>21</v>
      </c>
      <c r="G10">
        <v>798</v>
      </c>
      <c r="H10">
        <v>175.56</v>
      </c>
      <c r="I10">
        <v>160</v>
      </c>
      <c r="J10">
        <v>462.44</v>
      </c>
    </row>
    <row r="11">
      <c r="A11" t="str">
        <v>Jules L.</v>
      </c>
      <c r="B11" t="str">
        <v>Design</v>
      </c>
      <c r="C11" t="str">
        <v>Plus</v>
      </c>
      <c r="D11">
        <v>37.5</v>
      </c>
      <c r="E11">
        <v>0</v>
      </c>
      <c r="F11">
        <v>27.25</v>
      </c>
      <c r="G11">
        <v>1021.88</v>
      </c>
      <c r="H11">
        <v>224.81</v>
      </c>
      <c r="I11">
        <v>85</v>
      </c>
      <c r="J11">
        <v>712.07</v>
      </c>
    </row>
    <row r="12">
      <c r="A12" t="str">
        <v>Kemal S.</v>
      </c>
      <c r="B12" t="str">
        <v>Support</v>
      </c>
      <c r="C12" t="str">
        <v>Plus</v>
      </c>
      <c r="D12">
        <v>32</v>
      </c>
      <c r="E12">
        <v>0</v>
      </c>
      <c r="F12">
        <v>27.25</v>
      </c>
      <c r="G12">
        <v>872</v>
      </c>
      <c r="H12">
        <v>191.84</v>
      </c>
      <c r="I12">
        <v>85</v>
      </c>
      <c r="J12">
        <v>595.16</v>
      </c>
    </row>
    <row r="13">
      <c r="A13" t="str">
        <v>Lena Z.</v>
      </c>
      <c r="B13" t="str">
        <v>Warehouse</v>
      </c>
      <c r="C13" t="str">
        <v>Plus</v>
      </c>
      <c r="D13">
        <v>40</v>
      </c>
      <c r="E13">
        <v>2.5</v>
      </c>
      <c r="F13">
        <v>18.5</v>
      </c>
      <c r="G13">
        <v>809.38</v>
      </c>
      <c r="H13">
        <v>178.06</v>
      </c>
      <c r="I13">
        <v>58</v>
      </c>
      <c r="J13">
        <v>546.32</v>
      </c>
    </row>
    <row r="14">
      <c r="A14" t="str">
        <v>Mo G.</v>
      </c>
      <c r="B14" t="str">
        <v>Design</v>
      </c>
      <c r="C14" t="str">
        <v>Family</v>
      </c>
      <c r="D14">
        <v>40</v>
      </c>
      <c r="E14">
        <v>4</v>
      </c>
      <c r="F14">
        <v>27.25</v>
      </c>
      <c r="G14">
        <v>1253.5</v>
      </c>
      <c r="H14">
        <v>275.77</v>
      </c>
      <c r="I14">
        <v>160</v>
      </c>
      <c r="J14">
        <v>817.73</v>
      </c>
    </row>
    <row r="15">
      <c r="A15" t="str">
        <v>Nia N.</v>
      </c>
      <c r="B15" t="str">
        <v>Ops</v>
      </c>
      <c r="C15" t="str">
        <v>Family</v>
      </c>
      <c r="D15">
        <v>37.5</v>
      </c>
      <c r="E15">
        <v>8</v>
      </c>
      <c r="F15">
        <v>27.25</v>
      </c>
      <c r="G15">
        <v>1348.88</v>
      </c>
      <c r="H15">
        <v>296.75</v>
      </c>
      <c r="I15">
        <v>160</v>
      </c>
      <c r="J15">
        <v>892.13</v>
      </c>
    </row>
    <row r="16">
      <c r="A16" t="str">
        <v>Oren U.</v>
      </c>
      <c r="B16" t="str">
        <v>Design</v>
      </c>
      <c r="C16" t="str">
        <v>Basic</v>
      </c>
      <c r="D16">
        <v>36</v>
      </c>
      <c r="E16">
        <v>0</v>
      </c>
      <c r="F16">
        <v>18.5</v>
      </c>
      <c r="G16">
        <v>666</v>
      </c>
      <c r="H16">
        <v>146.52</v>
      </c>
      <c r="I16">
        <v>45</v>
      </c>
      <c r="J16">
        <v>474.48</v>
      </c>
    </row>
    <row r="17">
      <c r="A17" t="str">
        <v>Pia B.</v>
      </c>
      <c r="B17" t="str">
        <v>Design</v>
      </c>
      <c r="C17" t="str">
        <v>Family</v>
      </c>
      <c r="D17">
        <v>37.5</v>
      </c>
      <c r="E17">
        <v>0</v>
      </c>
      <c r="F17">
        <v>18.5</v>
      </c>
      <c r="G17">
        <v>693.75</v>
      </c>
      <c r="H17">
        <v>152.63</v>
      </c>
      <c r="I17">
        <v>160</v>
      </c>
      <c r="J17">
        <v>381.12</v>
      </c>
    </row>
    <row r="18">
      <c r="A18" t="str">
        <v>Quinn I.</v>
      </c>
      <c r="B18" t="str">
        <v>Design</v>
      </c>
      <c r="C18" t="str">
        <v>Family</v>
      </c>
      <c r="D18">
        <v>38</v>
      </c>
      <c r="E18">
        <v>2</v>
      </c>
      <c r="F18">
        <v>21</v>
      </c>
      <c r="G18">
        <v>861</v>
      </c>
      <c r="H18">
        <v>189.42</v>
      </c>
      <c r="I18">
        <v>160</v>
      </c>
      <c r="J18">
        <v>511.58</v>
      </c>
    </row>
    <row r="19">
      <c r="A19" t="str">
        <v>Rafa P.</v>
      </c>
      <c r="B19" t="str">
        <v>Design</v>
      </c>
      <c r="C19" t="str">
        <v>Family</v>
      </c>
      <c r="D19">
        <v>38</v>
      </c>
      <c r="E19">
        <v>2</v>
      </c>
      <c r="F19">
        <v>24.4</v>
      </c>
      <c r="G19">
        <v>1000.4</v>
      </c>
      <c r="H19">
        <v>220.09</v>
      </c>
      <c r="I19">
        <v>160</v>
      </c>
      <c r="J19">
        <v>620.31</v>
      </c>
    </row>
    <row r="20">
      <c r="A20" t="str">
        <v>Sol W.</v>
      </c>
      <c r="B20" t="str">
        <v>Design</v>
      </c>
      <c r="C20" t="str">
        <v>Family</v>
      </c>
      <c r="D20">
        <v>40</v>
      </c>
      <c r="E20">
        <v>6</v>
      </c>
      <c r="F20">
        <v>31</v>
      </c>
      <c r="G20">
        <v>1519</v>
      </c>
      <c r="H20">
        <v>334.18</v>
      </c>
      <c r="I20">
        <v>160</v>
      </c>
      <c r="J20">
        <v>1024.82</v>
      </c>
    </row>
    <row r="21">
      <c r="A21" t="str">
        <v>Tess D.</v>
      </c>
      <c r="B21" t="str">
        <v>Ops</v>
      </c>
      <c r="C21" t="str">
        <v>Plus</v>
      </c>
      <c r="D21">
        <v>37.5</v>
      </c>
      <c r="E21">
        <v>5.5</v>
      </c>
      <c r="F21">
        <v>18.5</v>
      </c>
      <c r="G21">
        <v>846.38</v>
      </c>
      <c r="H21">
        <v>186.2</v>
      </c>
      <c r="I21">
        <v>85</v>
      </c>
      <c r="J21">
        <v>55.18</v>
      </c>
    </row>
    <row r="22">
      <c r="A22" t="str">
        <v>Uma K.</v>
      </c>
      <c r="B22" t="str">
        <v>Warehouse</v>
      </c>
      <c r="C22" t="str">
        <v>Plus</v>
      </c>
      <c r="D22">
        <v>40</v>
      </c>
      <c r="E22">
        <v>2.5</v>
      </c>
      <c r="F22">
        <v>21</v>
      </c>
      <c r="G22">
        <v>918.75</v>
      </c>
      <c r="H22">
        <v>202.13</v>
      </c>
      <c r="I22">
        <v>85</v>
      </c>
      <c r="J22">
        <v>631.62</v>
      </c>
    </row>
    <row r="23">
      <c r="A23" t="str">
        <v>Vik R.</v>
      </c>
      <c r="B23" t="str">
        <v>Design</v>
      </c>
      <c r="C23" t="str">
        <v>Plus</v>
      </c>
      <c r="D23">
        <v>40</v>
      </c>
      <c r="E23">
        <v>4</v>
      </c>
      <c r="F23">
        <v>34.8</v>
      </c>
      <c r="G23">
        <v>1600.8</v>
      </c>
      <c r="H23">
        <v>352.18</v>
      </c>
      <c r="I23">
        <v>85</v>
      </c>
      <c r="J23">
        <v>1163.62</v>
      </c>
    </row>
    <row r="24">
      <c r="A24" t="str">
        <v>Wren Y.</v>
      </c>
      <c r="B24" t="str">
        <v>Design</v>
      </c>
      <c r="C24" t="str">
        <v>Plus</v>
      </c>
      <c r="D24">
        <v>32</v>
      </c>
      <c r="E24">
        <v>2.5</v>
      </c>
      <c r="F24">
        <v>24.4</v>
      </c>
      <c r="G24">
        <v>872.3</v>
      </c>
      <c r="H24">
        <v>191.91</v>
      </c>
      <c r="I24">
        <v>85</v>
      </c>
      <c r="J24">
        <v>595.39</v>
      </c>
    </row>
    <row r="25">
      <c r="A25" t="str">
        <v>Xan F.</v>
      </c>
      <c r="B25" t="str">
        <v>Ops</v>
      </c>
      <c r="C25" t="str">
        <v>Basic</v>
      </c>
      <c r="D25">
        <v>40</v>
      </c>
      <c r="E25">
        <v>0</v>
      </c>
      <c r="F25">
        <v>18.5</v>
      </c>
      <c r="G25">
        <v>740</v>
      </c>
      <c r="H25">
        <v>162.8</v>
      </c>
      <c r="I25">
        <v>45</v>
      </c>
      <c r="J25">
        <v>532.2</v>
      </c>
    </row>
    <row r="26">
      <c r="A26" t="str">
        <v>Yara M.</v>
      </c>
      <c r="B26" t="str">
        <v>Design</v>
      </c>
      <c r="C26" t="str">
        <v>Family</v>
      </c>
      <c r="D26">
        <v>40</v>
      </c>
      <c r="E26">
        <v>2.5</v>
      </c>
      <c r="F26">
        <v>22.75</v>
      </c>
      <c r="G26">
        <v>995.31</v>
      </c>
      <c r="H26">
        <v>218.97</v>
      </c>
      <c r="I26">
        <v>160</v>
      </c>
      <c r="J26">
        <v>616.34</v>
      </c>
    </row>
    <row r="27">
      <c r="A27" t="str">
        <v>Zed T.</v>
      </c>
      <c r="B27" t="str">
        <v>Design</v>
      </c>
      <c r="C27" t="str">
        <v>Basic</v>
      </c>
      <c r="D27">
        <v>83</v>
      </c>
      <c r="E27">
        <v>5.5</v>
      </c>
      <c r="F27">
        <v>27.25</v>
      </c>
      <c r="G27">
        <v>1260.31</v>
      </c>
      <c r="H27">
        <v>277.27</v>
      </c>
      <c r="I27">
        <v>45</v>
      </c>
      <c r="J27">
        <v>938.04</v>
      </c>
    </row>
    <row r="28">
      <c r="A28" t="str">
        <v>Amir A.</v>
      </c>
      <c r="B28" t="str">
        <v>Design</v>
      </c>
      <c r="C28" t="str">
        <v>Plus</v>
      </c>
      <c r="D28">
        <v>38</v>
      </c>
      <c r="E28">
        <v>0</v>
      </c>
      <c r="F28">
        <v>27.25</v>
      </c>
      <c r="G28">
        <v>1035.5</v>
      </c>
      <c r="H28">
        <v>227.81</v>
      </c>
      <c r="I28">
        <v>85</v>
      </c>
      <c r="J28">
        <v>722.69</v>
      </c>
    </row>
    <row r="29">
      <c r="A29" t="str">
        <v>Bea H.</v>
      </c>
      <c r="B29" t="str">
        <v>Design</v>
      </c>
      <c r="C29" t="str">
        <v>Plus</v>
      </c>
      <c r="D29">
        <v>40</v>
      </c>
      <c r="E29">
        <v>0</v>
      </c>
      <c r="F29">
        <v>31</v>
      </c>
      <c r="G29">
        <v>1240</v>
      </c>
      <c r="H29">
        <v>272.8</v>
      </c>
      <c r="I29">
        <v>85</v>
      </c>
      <c r="J29">
        <v>882.2</v>
      </c>
    </row>
    <row r="30">
      <c r="A30" t="str">
        <v>Cruz O.</v>
      </c>
      <c r="B30" t="str">
        <v>Ops</v>
      </c>
      <c r="C30" t="str">
        <v>Plus</v>
      </c>
      <c r="D30">
        <v>40</v>
      </c>
      <c r="E30">
        <v>2</v>
      </c>
      <c r="F30">
        <v>21</v>
      </c>
      <c r="G30">
        <v>903</v>
      </c>
      <c r="H30">
        <v>198.66</v>
      </c>
      <c r="I30">
        <v>85</v>
      </c>
      <c r="J30">
        <v>619.34</v>
      </c>
    </row>
    <row r="31">
      <c r="A31" t="str">
        <v>Dev V.</v>
      </c>
      <c r="B31" t="str">
        <v>Ops</v>
      </c>
      <c r="C31" t="str">
        <v>Basic</v>
      </c>
      <c r="D31">
        <v>38</v>
      </c>
      <c r="E31">
        <v>2.5</v>
      </c>
      <c r="F31">
        <v>21</v>
      </c>
      <c r="G31">
        <v>876.75</v>
      </c>
      <c r="H31">
        <v>192.89</v>
      </c>
      <c r="I31">
        <v>45</v>
      </c>
      <c r="J31">
        <v>638.86</v>
      </c>
    </row>
  </sheetData>
  <ignoredErrors>
    <ignoredError numberStoredAsText="1" sqref="A1:J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t="str">
        <v>Item</v>
      </c>
      <c r="B1" t="str">
        <v>Qty</v>
      </c>
      <c r="C1" t="str">
        <v>Price</v>
      </c>
      <c r="D1" t="str">
        <v>Total</v>
      </c>
    </row>
    <row r="2">
      <c r="A2" t="str">
        <v>x0</v>
      </c>
      <c r="B2">
        <v>1</v>
      </c>
      <c r="C2">
        <v>2.5</v>
      </c>
      <c r="D2">
        <f>B2*C2</f>
        <v>2.5</v>
      </c>
    </row>
    <row r="3">
      <c r="A3" t="str">
        <v>x1</v>
      </c>
      <c r="B3">
        <v>2</v>
      </c>
      <c r="C3">
        <v>5</v>
      </c>
      <c r="D3">
        <f>B3*C3</f>
        <v>10</v>
      </c>
    </row>
    <row r="4">
      <c r="A4" t="str">
        <v>x2</v>
      </c>
      <c r="B4">
        <v>3</v>
      </c>
      <c r="C4">
        <v>7.5</v>
      </c>
      <c r="D4">
        <f>B4*C4</f>
        <v>22.5</v>
      </c>
    </row>
    <row r="5">
      <c r="A5" t="str">
        <v>x3</v>
      </c>
      <c r="B5">
        <v>4</v>
      </c>
      <c r="C5">
        <v>2.5</v>
      </c>
      <c r="D5">
        <f>B5*C5</f>
        <v>10</v>
      </c>
    </row>
    <row r="6">
      <c r="A6" t="str">
        <v>x4</v>
      </c>
      <c r="B6">
        <v>5</v>
      </c>
      <c r="C6">
        <v>5</v>
      </c>
      <c r="D6">
        <f>B6*C6</f>
        <v>25</v>
      </c>
    </row>
    <row r="7">
      <c r="A7" t="str">
        <v>x5</v>
      </c>
      <c r="B7">
        <v>6</v>
      </c>
      <c r="C7">
        <v>7.5</v>
      </c>
      <c r="D7">
        <f>B7*C7</f>
        <v>45</v>
      </c>
    </row>
    <row r="8">
      <c r="A8" t="str">
        <v>x6</v>
      </c>
      <c r="B8">
        <v>7</v>
      </c>
      <c r="C8">
        <v>2.5</v>
      </c>
      <c r="D8">
        <f>B8*C8</f>
        <v>17.5</v>
      </c>
    </row>
    <row r="9">
      <c r="A9" t="str">
        <v>x7</v>
      </c>
      <c r="B9">
        <v>8</v>
      </c>
      <c r="C9">
        <v>5</v>
      </c>
      <c r="D9">
        <f>B9*C9</f>
        <v>40</v>
      </c>
    </row>
    <row r="10">
      <c r="A10" t="str">
        <v>x8</v>
      </c>
      <c r="B10">
        <v>9</v>
      </c>
      <c r="C10">
        <v>7.5</v>
      </c>
      <c r="D10">
        <f>B10*C10</f>
        <v>67.5</v>
      </c>
    </row>
    <row r="11">
      <c r="A11" t="str">
        <v>x9</v>
      </c>
      <c r="B11">
        <v>10</v>
      </c>
      <c r="C11">
        <v>2.5</v>
      </c>
      <c r="D11">
        <f>B11*C11</f>
        <v>25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Payroll</vt:lpstr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